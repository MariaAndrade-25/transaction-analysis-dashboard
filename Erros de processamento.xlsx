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EstaPastaDeTrabalho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maria\Documents\"/>
    </mc:Choice>
  </mc:AlternateContent>
  <xr:revisionPtr revIDLastSave="0" documentId="13_ncr:1_{33442204-4D84-4983-BB7E-BB1C94A93410}" xr6:coauthVersionLast="47" xr6:coauthVersionMax="47" xr10:uidLastSave="{00000000-0000-0000-0000-000000000000}"/>
  <bookViews>
    <workbookView xWindow="-120" yWindow="-120" windowWidth="29040" windowHeight="15720" xr2:uid="{2F74AD60-946E-473B-9475-85658896B3C0}"/>
  </bookViews>
  <sheets>
    <sheet name="Tipos de erro" sheetId="3" r:id="rId1"/>
    <sheet name="Planilha1" sheetId="1" r:id="rId2"/>
  </sheets>
  <definedNames>
    <definedName name="DadosExternos_1" localSheetId="0" hidden="1">'Tipos de erro'!$A$1:$F$41</definedName>
  </definedNames>
  <calcPr calcId="191029"/>
  <pivotCaches>
    <pivotCache cacheId="51" r:id="rId3"/>
    <pivotCache cacheId="50" r:id="rId4"/>
    <pivotCache cacheId="8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2" i="3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6732780-DBDC-4693-9EED-D38AC39C67FE}" keepAlive="1" name="Consulta - Tipos de erro" description="Conexão com a consulta 'Tipos de erro' na pasta de trabalho." type="5" refreshedVersion="7" background="1" saveData="1">
    <dbPr connection="Provider=Microsoft.Mashup.OleDb.1;Data Source=$Workbook$;Location=&quot;Tipos de erro&quot;;Extended Properties=&quot;&quot;" command="SELECT * FROM [Tipos de erro]"/>
  </connection>
</connections>
</file>

<file path=xl/sharedStrings.xml><?xml version="1.0" encoding="utf-8"?>
<sst xmlns="http://schemas.openxmlformats.org/spreadsheetml/2006/main" count="184" uniqueCount="69">
  <si>
    <t>id</t>
  </si>
  <si>
    <t>data</t>
  </si>
  <si>
    <t>tipo_erro</t>
  </si>
  <si>
    <t>tempo_processamento</t>
  </si>
  <si>
    <t>status</t>
  </si>
  <si>
    <t>cliente_id</t>
  </si>
  <si>
    <t>Coluna1</t>
  </si>
  <si>
    <t>id,data,tipo_erro,tempo_processamento,status,cliente_id</t>
  </si>
  <si>
    <t>1,2026-04-01,Erro sistema,120,falha,101</t>
  </si>
  <si>
    <t>2,2026-04-01,Erro humano,45,sucesso,102</t>
  </si>
  <si>
    <t>3,2026-04-01,Timeout,200,falha,103</t>
  </si>
  <si>
    <t>4,2026-04-01,Erro cadastro,60,sucesso,104</t>
  </si>
  <si>
    <t>5,2026-04-02,Erro sistema,150,falha,105</t>
  </si>
  <si>
    <t>6,2026-04-02,Erro humano,50,sucesso,106</t>
  </si>
  <si>
    <t>7,2026-04-02,Erro humano,40,sucesso,107</t>
  </si>
  <si>
    <t>8,2026-04-02,Timeout,210,falha,108</t>
  </si>
  <si>
    <t>9,2026-04-03,Erro cadastro,70,sucesso,109</t>
  </si>
  <si>
    <t>10,2026-04-03,Erro sistema,130,falha,110</t>
  </si>
  <si>
    <t>11,2026-04-03,Erro humano,55,sucesso,101</t>
  </si>
  <si>
    <t>12,2026-04-03,Erro sistema,140,falha,102</t>
  </si>
  <si>
    <t>13,2026-04-04,Timeout,220,falha,103</t>
  </si>
  <si>
    <t>14,2026-04-04,Erro cadastro,65,sucesso,104</t>
  </si>
  <si>
    <t>15,2026-04-04,Erro humano,48,sucesso,105</t>
  </si>
  <si>
    <t>16,2026-04-04,Erro sistema,160,falha,106</t>
  </si>
  <si>
    <t>17,2026-04-05,Erro humano,52,sucesso,107</t>
  </si>
  <si>
    <t>18,2026-04-05,Timeout,230,falha,108</t>
  </si>
  <si>
    <t>19,2026-04-05,Erro cadastro,75,sucesso,109</t>
  </si>
  <si>
    <t>20,2026-04-05,Erro sistema,135,falha,110</t>
  </si>
  <si>
    <t>21,2026-04-06,Erro humano,47,sucesso,101</t>
  </si>
  <si>
    <t>22,2026-04-06,Erro sistema,155,falha,102</t>
  </si>
  <si>
    <t>23,2026-04-06,Timeout,240,falha,103</t>
  </si>
  <si>
    <t>24,2026-04-06,Erro cadastro,68,sucesso,104</t>
  </si>
  <si>
    <t>25,2026-04-07,Erro humano,49,sucesso,105</t>
  </si>
  <si>
    <t>26,2026-04-07,Erro sistema,145,falha,106</t>
  </si>
  <si>
    <t>27,2026-04-07,Timeout,250,falha,107</t>
  </si>
  <si>
    <t>28,2026-04-07,Erro cadastro,72,sucesso,108</t>
  </si>
  <si>
    <t>29,2026-04-08,Erro humano,46,sucesso,109</t>
  </si>
  <si>
    <t>30,2026-04-08,Erro sistema,165,falha,110</t>
  </si>
  <si>
    <t>31,2026-04-08,Timeout,260,falha,101</t>
  </si>
  <si>
    <t>32,2026-04-08,Erro cadastro,66,sucesso,102</t>
  </si>
  <si>
    <t>33,2026-04-09,Erro humano,51,sucesso,103</t>
  </si>
  <si>
    <t>34,2026-04-09,Erro sistema,170,falha,104</t>
  </si>
  <si>
    <t>35,2026-04-09,Timeout,270,falha,105</t>
  </si>
  <si>
    <t>36,2026-04-09,Erro cadastro,69,sucesso,106</t>
  </si>
  <si>
    <t>37,2026-04-10,Erro humano,53,sucesso,107</t>
  </si>
  <si>
    <t>38,2026-04-10,Erro sistema,175,falha,108</t>
  </si>
  <si>
    <t>39,2026-04-10,Timeout,280,falha,109</t>
  </si>
  <si>
    <t>40,2026-04-10,Erro cadastro,74,sucesso,110</t>
  </si>
  <si>
    <t>2026-04-01</t>
  </si>
  <si>
    <t>Erro sistema</t>
  </si>
  <si>
    <t>falha</t>
  </si>
  <si>
    <t>Erro humano</t>
  </si>
  <si>
    <t>sucesso</t>
  </si>
  <si>
    <t>Timeout</t>
  </si>
  <si>
    <t>Erro cadastro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</si>
  <si>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</si>
  <si>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</si>
  <si>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</si>
  <si>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</si>
  <si>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</si>
  <si>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</si>
  <si>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</si>
  <si>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</si>
  <si>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</si>
  <si>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Rótulos de Linha</t>
  </si>
  <si>
    <t>Total Geral</t>
  </si>
  <si>
    <t>Contagem de status</t>
  </si>
  <si>
    <t>Contagem de tipo_erro</t>
  </si>
  <si>
    <t>Média de tempo_processamento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</si>
</sst>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[$-F800]dddd\,\ mmmm\ dd\,\ yyyy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2" fontId="0" fillId="0" borderId="0" xfId="0" applyNumberFormat="1"/>
    <xf numFmtId="0" fontId="0" fillId="0" borderId="0" xfId="1" applyNumberFormat="1" applyFont="1"/>
    <xf numFmtId="168" fontId="0" fillId="0" borderId="0" xfId="0" applyNumberFormat="1"/>
  </cellXfs>
  <cellStyles count="2">
    <cellStyle name="Normal" xfId="0" builtinId="0"/>
    <cellStyle name="Porcentagem" xfId="1" builtinId="5"/>
  </cellStyles>
  <dxfs count="6">
    <dxf>
      <numFmt numFmtId="2" formatCode="0.00"/>
    </dxf>
    <dxf>
      <numFmt numFmtId="168" formatCode="[$-F800]dddd\,\ mmmm\ dd\,\ yyyy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pivotCacheDefinition" Target="pivotCache/pivotCacheDefinition1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3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2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y Andrade" refreshedDate="46134.608412384259" createdVersion="7" refreshedVersion="7" minRefreshableVersion="3" recordCount="40" xr:uid="{2D25850D-D6CA-447C-9FE6-D674C8591628}">
  <cacheSource type="worksheet">
    <worksheetSource name="Tipos_de_erro"/>
  </cacheSource>
  <cacheFields count="6">
    <cacheField name="id" numFmtId="0">
      <sharedItems/>
    </cacheField>
    <cacheField name="data" numFmtId="0">
      <sharedItems/>
    </cacheField>
    <cacheField name="tipo_erro" numFmtId="0">
      <sharedItems count="4">
        <s v="Erro sistema"/>
        <s v="Erro humano"/>
        <s v="Timeout"/>
        <s v="Erro cadastro"/>
      </sharedItems>
    </cacheField>
    <cacheField name="tempo_processamento" numFmtId="2">
      <sharedItems count="40">
        <s v="120"/>
        <s v="45"/>
        <s v="200"/>
        <s v="60"/>
        <s v="150"/>
        <s v="50"/>
        <s v="40"/>
        <s v="210"/>
        <s v="70"/>
        <s v="130"/>
        <s v="55"/>
        <s v="140"/>
        <s v="220"/>
        <s v="65"/>
        <s v="48"/>
        <s v="160"/>
        <s v="52"/>
        <s v="230"/>
        <s v="75"/>
        <s v="135"/>
        <s v="47"/>
        <s v="155"/>
        <s v="240"/>
        <s v="68"/>
        <s v="49"/>
        <s v="145"/>
        <s v="250"/>
        <s v="72"/>
        <s v="46"/>
        <s v="165"/>
        <s v="260"/>
        <s v="66"/>
        <s v="51"/>
        <s v="170"/>
        <s v="270"/>
        <s v="69"/>
        <s v="53"/>
        <s v="175"/>
        <s v="280"/>
        <s v="74"/>
      </sharedItems>
    </cacheField>
    <cacheField name="status" numFmtId="0">
      <sharedItems count="2">
        <s v="falha"/>
        <s v="sucesso"/>
      </sharedItems>
    </cacheField>
    <cacheField name="cliente_id" numFmtId="2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y Andrade" refreshedDate="46134.608412615744" createdVersion="7" refreshedVersion="7" minRefreshableVersion="3" recordCount="40" xr:uid="{143C112F-9497-42AC-93D0-4935B4D45611}">
  <cacheSource type="worksheet">
    <worksheetSource name="Tipos_de_erro"/>
  </cacheSource>
  <cacheFields count="6">
    <cacheField name="id" numFmtId="0">
      <sharedItems/>
    </cacheField>
    <cacheField name="data" numFmtId="0">
      <sharedItems/>
    </cacheField>
    <cacheField name="tipo_erro" numFmtId="0">
      <sharedItems/>
    </cacheField>
    <cacheField name="tempo_processamento" numFmtId="2">
      <sharedItems/>
    </cacheField>
    <cacheField name="status" numFmtId="0">
      <sharedItems count="2">
        <s v="falha"/>
        <s v="sucesso"/>
      </sharedItems>
    </cacheField>
    <cacheField name="cliente_id" numFmtId="2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y Andrade" refreshedDate="46134.74044872685" createdVersion="7" refreshedVersion="7" minRefreshableVersion="3" recordCount="39" xr:uid="{86EA53ED-8DC7-4F46-8E40-EA38D970D068}">
  <cacheSource type="worksheet">
    <worksheetSource name="Tipos_de_erro"/>
  </cacheSource>
  <cacheFields count="6">
    <cacheField name="id" numFmtId="0">
      <sharedItems containsSemiMixedTypes="0" containsString="0" containsNumber="1" containsInteger="1" minValue="1" maxValue="39"/>
    </cacheField>
    <cacheField name="data" numFmtId="0">
      <sharedItems/>
    </cacheField>
    <cacheField name="tipo_erro" numFmtId="0">
      <sharedItems count="4">
        <s v="Erro sistema"/>
        <s v="Erro humano"/>
        <s v="Timeout"/>
        <s v="Erro cadastro"/>
      </sharedItems>
    </cacheField>
    <cacheField name="tempo_processamento" numFmtId="2">
      <sharedItems containsSemiMixedTypes="0" containsString="0" containsNumber="1" minValue="40" maxValue="280"/>
    </cacheField>
    <cacheField name="status" numFmtId="0">
      <sharedItems/>
    </cacheField>
    <cacheField name="cliente_id" numFmtId="2">
      <sharedItems containsSemiMixedTypes="0" containsString="0" containsNumber="1" containsInteger="1" minValue="101" maxValue="11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">
  <r>
    <s v="1"/>
    <s v="2026-04-01"/>
    <x v="0"/>
    <x v="0"/>
    <x v="0"/>
    <s v="101"/>
  </r>
  <r>
    <s v="2"/>
    <s v="2026-04-01"/>
    <x v="1"/>
    <x v="1"/>
    <x v="1"/>
    <s v="102"/>
  </r>
  <r>
    <s v="3"/>
    <s v="2026-04-01"/>
    <x v="2"/>
    <x v="2"/>
    <x v="0"/>
    <s v="103"/>
  </r>
  <r>
    <s v="4"/>
    <s v="2026-04-01"/>
    <x v="3"/>
    <x v="3"/>
    <x v="1"/>
    <s v="104"/>
  </r>
  <r>
    <s v="5"/>
    <s v="2026-04-02"/>
    <x v="0"/>
    <x v="4"/>
    <x v="0"/>
    <s v="105"/>
  </r>
  <r>
    <s v="6"/>
    <s v="2026-04-02"/>
    <x v="1"/>
    <x v="5"/>
    <x v="1"/>
    <s v="106"/>
  </r>
  <r>
    <s v="7"/>
    <s v="2026-04-02"/>
    <x v="1"/>
    <x v="6"/>
    <x v="1"/>
    <s v="107"/>
  </r>
  <r>
    <s v="8"/>
    <s v="2026-04-02"/>
    <x v="2"/>
    <x v="7"/>
    <x v="0"/>
    <s v="108"/>
  </r>
  <r>
    <s v="9"/>
    <s v="2026-04-03"/>
    <x v="3"/>
    <x v="8"/>
    <x v="1"/>
    <s v="109"/>
  </r>
  <r>
    <s v="10"/>
    <s v="2026-04-03"/>
    <x v="0"/>
    <x v="9"/>
    <x v="0"/>
    <s v="110"/>
  </r>
  <r>
    <s v="11"/>
    <s v="2026-04-03"/>
    <x v="1"/>
    <x v="10"/>
    <x v="1"/>
    <s v="101"/>
  </r>
  <r>
    <s v="12"/>
    <s v="2026-04-03"/>
    <x v="0"/>
    <x v="11"/>
    <x v="0"/>
    <s v="102"/>
  </r>
  <r>
    <s v="13"/>
    <s v="2026-04-04"/>
    <x v="2"/>
    <x v="12"/>
    <x v="0"/>
    <s v="103"/>
  </r>
  <r>
    <s v="14"/>
    <s v="2026-04-04"/>
    <x v="3"/>
    <x v="13"/>
    <x v="1"/>
    <s v="104"/>
  </r>
  <r>
    <s v="15"/>
    <s v="2026-04-04"/>
    <x v="1"/>
    <x v="14"/>
    <x v="1"/>
    <s v="105"/>
  </r>
  <r>
    <s v="16"/>
    <s v="2026-04-04"/>
    <x v="0"/>
    <x v="15"/>
    <x v="0"/>
    <s v="106"/>
  </r>
  <r>
    <s v="17"/>
    <s v="2026-04-05"/>
    <x v="1"/>
    <x v="16"/>
    <x v="1"/>
    <s v="107"/>
  </r>
  <r>
    <s v="18"/>
    <s v="2026-04-05"/>
    <x v="2"/>
    <x v="17"/>
    <x v="0"/>
    <s v="108"/>
  </r>
  <r>
    <s v="19"/>
    <s v="2026-04-05"/>
    <x v="3"/>
    <x v="18"/>
    <x v="1"/>
    <s v="109"/>
  </r>
  <r>
    <s v="20"/>
    <s v="2026-04-05"/>
    <x v="0"/>
    <x v="19"/>
    <x v="0"/>
    <s v="110"/>
  </r>
  <r>
    <s v="21"/>
    <s v="2026-04-06"/>
    <x v="1"/>
    <x v="20"/>
    <x v="1"/>
    <s v="101"/>
  </r>
  <r>
    <s v="22"/>
    <s v="2026-04-06"/>
    <x v="0"/>
    <x v="21"/>
    <x v="0"/>
    <s v="102"/>
  </r>
  <r>
    <s v="23"/>
    <s v="2026-04-06"/>
    <x v="2"/>
    <x v="22"/>
    <x v="0"/>
    <s v="103"/>
  </r>
  <r>
    <s v="24"/>
    <s v="2026-04-06"/>
    <x v="3"/>
    <x v="23"/>
    <x v="1"/>
    <s v="104"/>
  </r>
  <r>
    <s v="25"/>
    <s v="2026-04-07"/>
    <x v="1"/>
    <x v="24"/>
    <x v="1"/>
    <s v="105"/>
  </r>
  <r>
    <s v="26"/>
    <s v="2026-04-07"/>
    <x v="0"/>
    <x v="25"/>
    <x v="0"/>
    <s v="106"/>
  </r>
  <r>
    <s v="27"/>
    <s v="2026-04-07"/>
    <x v="2"/>
    <x v="26"/>
    <x v="0"/>
    <s v="107"/>
  </r>
  <r>
    <s v="28"/>
    <s v="2026-04-07"/>
    <x v="3"/>
    <x v="27"/>
    <x v="1"/>
    <s v="108"/>
  </r>
  <r>
    <s v="29"/>
    <s v="2026-04-08"/>
    <x v="1"/>
    <x v="28"/>
    <x v="1"/>
    <s v="109"/>
  </r>
  <r>
    <s v="30"/>
    <s v="2026-04-08"/>
    <x v="0"/>
    <x v="29"/>
    <x v="0"/>
    <s v="110"/>
  </r>
  <r>
    <s v="31"/>
    <s v="2026-04-08"/>
    <x v="2"/>
    <x v="30"/>
    <x v="0"/>
    <s v="101"/>
  </r>
  <r>
    <s v="32"/>
    <s v="2026-04-08"/>
    <x v="3"/>
    <x v="31"/>
    <x v="1"/>
    <s v="102"/>
  </r>
  <r>
    <s v="33"/>
    <s v="2026-04-09"/>
    <x v="1"/>
    <x v="32"/>
    <x v="1"/>
    <s v="103"/>
  </r>
  <r>
    <s v="34"/>
    <s v="2026-04-09"/>
    <x v="0"/>
    <x v="33"/>
    <x v="0"/>
    <s v="104"/>
  </r>
  <r>
    <s v="35"/>
    <s v="2026-04-09"/>
    <x v="2"/>
    <x v="34"/>
    <x v="0"/>
    <s v="105"/>
  </r>
  <r>
    <s v="36"/>
    <s v="2026-04-09"/>
    <x v="3"/>
    <x v="35"/>
    <x v="1"/>
    <s v="106"/>
  </r>
  <r>
    <s v="37"/>
    <s v="2026-04-10"/>
    <x v="1"/>
    <x v="36"/>
    <x v="1"/>
    <s v="107"/>
  </r>
  <r>
    <s v="38"/>
    <s v="2026-04-10"/>
    <x v="0"/>
    <x v="37"/>
    <x v="0"/>
    <s v="108"/>
  </r>
  <r>
    <s v="39"/>
    <s v="2026-04-10"/>
    <x v="2"/>
    <x v="38"/>
    <x v="0"/>
    <s v="109"/>
  </r>
  <r>
    <s v="40"/>
    <s v="2026-04-10"/>
    <x v="3"/>
    <x v="39"/>
    <x v="1"/>
    <s v="11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">
  <r>
    <s v="1"/>
    <s v="2026-04-01"/>
    <s v="Erro sistema"/>
    <s v="120"/>
    <x v="0"/>
    <s v="101"/>
  </r>
  <r>
    <s v="2"/>
    <s v="2026-04-01"/>
    <s v="Erro humano"/>
    <s v="45"/>
    <x v="1"/>
    <s v="102"/>
  </r>
  <r>
    <s v="3"/>
    <s v="2026-04-01"/>
    <s v="Timeout"/>
    <s v="200"/>
    <x v="0"/>
    <s v="103"/>
  </r>
  <r>
    <s v="4"/>
    <s v="2026-04-01"/>
    <s v="Erro cadastro"/>
    <s v="60"/>
    <x v="1"/>
    <s v="104"/>
  </r>
  <r>
    <s v="5"/>
    <s v="2026-04-02"/>
    <s v="Erro sistema"/>
    <s v="150"/>
    <x v="0"/>
    <s v="105"/>
  </r>
  <r>
    <s v="6"/>
    <s v="2026-04-02"/>
    <s v="Erro humano"/>
    <s v="50"/>
    <x v="1"/>
    <s v="106"/>
  </r>
  <r>
    <s v="7"/>
    <s v="2026-04-02"/>
    <s v="Erro humano"/>
    <s v="40"/>
    <x v="1"/>
    <s v="107"/>
  </r>
  <r>
    <s v="8"/>
    <s v="2026-04-02"/>
    <s v="Timeout"/>
    <s v="210"/>
    <x v="0"/>
    <s v="108"/>
  </r>
  <r>
    <s v="9"/>
    <s v="2026-04-03"/>
    <s v="Erro cadastro"/>
    <s v="70"/>
    <x v="1"/>
    <s v="109"/>
  </r>
  <r>
    <s v="10"/>
    <s v="2026-04-03"/>
    <s v="Erro sistema"/>
    <s v="130"/>
    <x v="0"/>
    <s v="110"/>
  </r>
  <r>
    <s v="11"/>
    <s v="2026-04-03"/>
    <s v="Erro humano"/>
    <s v="55"/>
    <x v="1"/>
    <s v="101"/>
  </r>
  <r>
    <s v="12"/>
    <s v="2026-04-03"/>
    <s v="Erro sistema"/>
    <s v="140"/>
    <x v="0"/>
    <s v="102"/>
  </r>
  <r>
    <s v="13"/>
    <s v="2026-04-04"/>
    <s v="Timeout"/>
    <s v="220"/>
    <x v="0"/>
    <s v="103"/>
  </r>
  <r>
    <s v="14"/>
    <s v="2026-04-04"/>
    <s v="Erro cadastro"/>
    <s v="65"/>
    <x v="1"/>
    <s v="104"/>
  </r>
  <r>
    <s v="15"/>
    <s v="2026-04-04"/>
    <s v="Erro humano"/>
    <s v="48"/>
    <x v="1"/>
    <s v="105"/>
  </r>
  <r>
    <s v="16"/>
    <s v="2026-04-04"/>
    <s v="Erro sistema"/>
    <s v="160"/>
    <x v="0"/>
    <s v="106"/>
  </r>
  <r>
    <s v="17"/>
    <s v="2026-04-05"/>
    <s v="Erro humano"/>
    <s v="52"/>
    <x v="1"/>
    <s v="107"/>
  </r>
  <r>
    <s v="18"/>
    <s v="2026-04-05"/>
    <s v="Timeout"/>
    <s v="230"/>
    <x v="0"/>
    <s v="108"/>
  </r>
  <r>
    <s v="19"/>
    <s v="2026-04-05"/>
    <s v="Erro cadastro"/>
    <s v="75"/>
    <x v="1"/>
    <s v="109"/>
  </r>
  <r>
    <s v="20"/>
    <s v="2026-04-05"/>
    <s v="Erro sistema"/>
    <s v="135"/>
    <x v="0"/>
    <s v="110"/>
  </r>
  <r>
    <s v="21"/>
    <s v="2026-04-06"/>
    <s v="Erro humano"/>
    <s v="47"/>
    <x v="1"/>
    <s v="101"/>
  </r>
  <r>
    <s v="22"/>
    <s v="2026-04-06"/>
    <s v="Erro sistema"/>
    <s v="155"/>
    <x v="0"/>
    <s v="102"/>
  </r>
  <r>
    <s v="23"/>
    <s v="2026-04-06"/>
    <s v="Timeout"/>
    <s v="240"/>
    <x v="0"/>
    <s v="103"/>
  </r>
  <r>
    <s v="24"/>
    <s v="2026-04-06"/>
    <s v="Erro cadastro"/>
    <s v="68"/>
    <x v="1"/>
    <s v="104"/>
  </r>
  <r>
    <s v="25"/>
    <s v="2026-04-07"/>
    <s v="Erro humano"/>
    <s v="49"/>
    <x v="1"/>
    <s v="105"/>
  </r>
  <r>
    <s v="26"/>
    <s v="2026-04-07"/>
    <s v="Erro sistema"/>
    <s v="145"/>
    <x v="0"/>
    <s v="106"/>
  </r>
  <r>
    <s v="27"/>
    <s v="2026-04-07"/>
    <s v="Timeout"/>
    <s v="250"/>
    <x v="0"/>
    <s v="107"/>
  </r>
  <r>
    <s v="28"/>
    <s v="2026-04-07"/>
    <s v="Erro cadastro"/>
    <s v="72"/>
    <x v="1"/>
    <s v="108"/>
  </r>
  <r>
    <s v="29"/>
    <s v="2026-04-08"/>
    <s v="Erro humano"/>
    <s v="46"/>
    <x v="1"/>
    <s v="109"/>
  </r>
  <r>
    <s v="30"/>
    <s v="2026-04-08"/>
    <s v="Erro sistema"/>
    <s v="165"/>
    <x v="0"/>
    <s v="110"/>
  </r>
  <r>
    <s v="31"/>
    <s v="2026-04-08"/>
    <s v="Timeout"/>
    <s v="260"/>
    <x v="0"/>
    <s v="101"/>
  </r>
  <r>
    <s v="32"/>
    <s v="2026-04-08"/>
    <s v="Erro cadastro"/>
    <s v="66"/>
    <x v="1"/>
    <s v="102"/>
  </r>
  <r>
    <s v="33"/>
    <s v="2026-04-09"/>
    <s v="Erro humano"/>
    <s v="51"/>
    <x v="1"/>
    <s v="103"/>
  </r>
  <r>
    <s v="34"/>
    <s v="2026-04-09"/>
    <s v="Erro sistema"/>
    <s v="170"/>
    <x v="0"/>
    <s v="104"/>
  </r>
  <r>
    <s v="35"/>
    <s v="2026-04-09"/>
    <s v="Timeout"/>
    <s v="270"/>
    <x v="0"/>
    <s v="105"/>
  </r>
  <r>
    <s v="36"/>
    <s v="2026-04-09"/>
    <s v="Erro cadastro"/>
    <s v="69"/>
    <x v="1"/>
    <s v="106"/>
  </r>
  <r>
    <s v="37"/>
    <s v="2026-04-10"/>
    <s v="Erro humano"/>
    <s v="53"/>
    <x v="1"/>
    <s v="107"/>
  </r>
  <r>
    <s v="38"/>
    <s v="2026-04-10"/>
    <s v="Erro sistema"/>
    <s v="175"/>
    <x v="0"/>
    <s v="108"/>
  </r>
  <r>
    <s v="39"/>
    <s v="2026-04-10"/>
    <s v="Timeout"/>
    <s v="280"/>
    <x v="0"/>
    <s v="109"/>
  </r>
  <r>
    <s v="40"/>
    <s v="2026-04-10"/>
    <s v="Erro cadastro"/>
    <s v="74"/>
    <x v="1"/>
    <s v="11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">
  <r>
    <n v="1"/>
    <s v="2026-04-01"/>
    <x v="0"/>
    <n v="120"/>
    <s v="falha"/>
    <n v="101"/>
  </r>
  <r>
    <n v="2"/>
    <s v="2026-04-01"/>
    <x v="1"/>
    <n v="45"/>
    <s v="sucesso"/>
    <n v="102"/>
  </r>
  <r>
    <n v="3"/>
    <s v="2026-04-01"/>
    <x v="2"/>
    <n v="200"/>
    <s v="falha"/>
    <n v="103"/>
  </r>
  <r>
    <n v="4"/>
    <s v="2026-04-01"/>
    <x v="3"/>
    <n v="60"/>
    <s v="sucesso"/>
    <n v="104"/>
  </r>
  <r>
    <n v="5"/>
    <s v="2026-04-02"/>
    <x v="0"/>
    <n v="150"/>
    <s v="falha"/>
    <n v="105"/>
  </r>
  <r>
    <n v="6"/>
    <s v="2026-04-02"/>
    <x v="1"/>
    <n v="50"/>
    <s v="sucesso"/>
    <n v="106"/>
  </r>
  <r>
    <n v="7"/>
    <s v="2026-04-02"/>
    <x v="1"/>
    <n v="40"/>
    <s v="sucesso"/>
    <n v="107"/>
  </r>
  <r>
    <n v="8"/>
    <s v="2026-04-02"/>
    <x v="2"/>
    <n v="210"/>
    <s v="falha"/>
    <n v="108"/>
  </r>
  <r>
    <n v="9"/>
    <s v="2026-04-03"/>
    <x v="3"/>
    <n v="70"/>
    <s v="sucesso"/>
    <n v="109"/>
  </r>
  <r>
    <n v="10"/>
    <s v="2026-04-03"/>
    <x v="0"/>
    <n v="130"/>
    <s v="falha"/>
    <n v="110"/>
  </r>
  <r>
    <n v="11"/>
    <s v="2026-04-03"/>
    <x v="1"/>
    <n v="107.5"/>
    <s v="sucesso"/>
    <n v="101"/>
  </r>
  <r>
    <n v="12"/>
    <s v="2026-04-03"/>
    <x v="0"/>
    <n v="140"/>
    <s v="falha"/>
    <n v="102"/>
  </r>
  <r>
    <n v="13"/>
    <s v="2026-04-04"/>
    <x v="2"/>
    <n v="220"/>
    <s v="falha"/>
    <n v="103"/>
  </r>
  <r>
    <n v="14"/>
    <s v="2026-04-04"/>
    <x v="3"/>
    <n v="65"/>
    <s v="sucesso"/>
    <n v="104"/>
  </r>
  <r>
    <n v="15"/>
    <s v="2026-04-04"/>
    <x v="1"/>
    <n v="48"/>
    <s v="sucesso"/>
    <n v="105"/>
  </r>
  <r>
    <n v="16"/>
    <s v="2026-04-04"/>
    <x v="0"/>
    <n v="160"/>
    <s v="falha"/>
    <n v="106"/>
  </r>
  <r>
    <n v="17"/>
    <s v="2026-04-05"/>
    <x v="1"/>
    <n v="52"/>
    <s v="sucesso"/>
    <n v="107"/>
  </r>
  <r>
    <n v="18"/>
    <s v="2026-04-05"/>
    <x v="2"/>
    <n v="230"/>
    <s v="falha"/>
    <n v="108"/>
  </r>
  <r>
    <n v="19"/>
    <s v="2026-04-05"/>
    <x v="3"/>
    <n v="75"/>
    <s v="sucesso"/>
    <n v="109"/>
  </r>
  <r>
    <n v="20"/>
    <s v="2026-04-05"/>
    <x v="0"/>
    <n v="135"/>
    <s v="falha"/>
    <n v="110"/>
  </r>
  <r>
    <n v="21"/>
    <s v="2026-04-06"/>
    <x v="1"/>
    <n v="47"/>
    <s v="sucesso"/>
    <n v="101"/>
  </r>
  <r>
    <n v="22"/>
    <s v="2026-04-06"/>
    <x v="0"/>
    <n v="155"/>
    <s v="falha"/>
    <n v="102"/>
  </r>
  <r>
    <n v="23"/>
    <s v="2026-04-06"/>
    <x v="2"/>
    <n v="240"/>
    <s v="falha"/>
    <n v="103"/>
  </r>
  <r>
    <n v="24"/>
    <s v="2026-04-06"/>
    <x v="3"/>
    <n v="68"/>
    <s v="sucesso"/>
    <n v="104"/>
  </r>
  <r>
    <n v="25"/>
    <s v="2026-04-07"/>
    <x v="1"/>
    <n v="49"/>
    <s v="sucesso"/>
    <n v="105"/>
  </r>
  <r>
    <n v="26"/>
    <s v="2026-04-07"/>
    <x v="0"/>
    <n v="145"/>
    <s v="falha"/>
    <n v="106"/>
  </r>
  <r>
    <n v="27"/>
    <s v="2026-04-07"/>
    <x v="2"/>
    <n v="250"/>
    <s v="falha"/>
    <n v="107"/>
  </r>
  <r>
    <n v="28"/>
    <s v="2026-04-07"/>
    <x v="3"/>
    <n v="72"/>
    <s v="sucesso"/>
    <n v="108"/>
  </r>
  <r>
    <n v="29"/>
    <s v="2026-04-08"/>
    <x v="1"/>
    <n v="46"/>
    <s v="sucesso"/>
    <n v="109"/>
  </r>
  <r>
    <n v="30"/>
    <s v="2026-04-08"/>
    <x v="0"/>
    <n v="165"/>
    <s v="falha"/>
    <n v="110"/>
  </r>
  <r>
    <n v="31"/>
    <s v="2026-04-08"/>
    <x v="2"/>
    <n v="260"/>
    <s v="falha"/>
    <n v="101"/>
  </r>
  <r>
    <n v="32"/>
    <s v="2026-04-08"/>
    <x v="3"/>
    <n v="66"/>
    <s v="sucesso"/>
    <n v="102"/>
  </r>
  <r>
    <n v="33"/>
    <s v="2026-04-09"/>
    <x v="1"/>
    <n v="51"/>
    <s v="sucesso"/>
    <n v="103"/>
  </r>
  <r>
    <n v="34"/>
    <s v="2026-04-09"/>
    <x v="0"/>
    <n v="170"/>
    <s v="falha"/>
    <n v="104"/>
  </r>
  <r>
    <n v="35"/>
    <s v="2026-04-09"/>
    <x v="2"/>
    <n v="270"/>
    <s v="falha"/>
    <n v="105"/>
  </r>
  <r>
    <n v="36"/>
    <s v="2026-04-09"/>
    <x v="3"/>
    <n v="69"/>
    <s v="sucesso"/>
    <n v="106"/>
  </r>
  <r>
    <n v="37"/>
    <s v="2026-04-10"/>
    <x v="1"/>
    <n v="53"/>
    <s v="sucesso"/>
    <n v="107"/>
  </r>
  <r>
    <n v="38"/>
    <s v="2026-04-10"/>
    <x v="0"/>
    <n v="175"/>
    <s v="falha"/>
    <n v="108"/>
  </r>
  <r>
    <n v="39"/>
    <s v="2026-04-10"/>
    <x v="2"/>
    <n v="280"/>
    <s v="falha"/>
    <n v="10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27E45E-B41B-4962-BD99-C512791C2E0A}" name="Tabela dinâmica37" cacheId="5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H17:I20" firstHeaderRow="1" firstDataRow="1" firstDataCol="1"/>
  <pivotFields count="6">
    <pivotField showAll="0"/>
    <pivotField showAll="0"/>
    <pivotField showAll="0"/>
    <pivotField showAll="0"/>
    <pivotField axis="axisRow" dataField="1" showAll="0">
      <items count="3">
        <item x="0"/>
        <item x="1"/>
        <item t="default"/>
      </items>
    </pivotField>
    <pivotField showAll="0"/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Contagem de status" fld="4" subtotal="count" showDataAs="percentOfTotal" baseField="4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D573BE-8AA9-4627-92E6-6706C8CC0C1E}" name="Tabela dinâmica36" cacheId="51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H23:I28" firstHeaderRow="1" firstDataRow="1" firstDataCol="1"/>
  <pivotFields count="6">
    <pivotField showAll="0"/>
    <pivotField showAll="0"/>
    <pivotField axis="axisRow" dataField="1" showAll="0">
      <items count="5">
        <item x="3"/>
        <item x="1"/>
        <item x="0"/>
        <item x="2"/>
        <item t="default"/>
      </items>
    </pivotField>
    <pivotField showAll="0"/>
    <pivotField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ntagem de tipo_erro" fld="2" subtotal="count" showDataAs="percentOfTotal" baseField="2" baseItem="1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8ABD4E-A070-4F3B-9140-F23B04E44BF1}" name="Tabela dinâmica35" cacheId="8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H33:I38" firstHeaderRow="1" firstDataRow="1" firstDataCol="1"/>
  <pivotFields count="6">
    <pivotField showAll="0"/>
    <pivotField showAll="0"/>
    <pivotField axis="axisRow" showAll="0">
      <items count="5">
        <item x="3"/>
        <item x="1"/>
        <item x="0"/>
        <item x="2"/>
        <item t="default"/>
      </items>
    </pivotField>
    <pivotField dataField="1" numFmtId="2" showAll="0"/>
    <pivotField showAll="0"/>
    <pivotField numFmtId="2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Média de tempo_processamento" fld="3" subtotal="average" showDataAs="percentOfTotal" baseField="2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A810BA81-AABA-4E18-9A9C-DD8C331064C9}" autoFormatId="16" applyNumberFormats="0" applyBorderFormats="0" applyFontFormats="0" applyPatternFormats="0" applyAlignmentFormats="0" applyWidthHeightFormats="0">
  <queryTableRefresh nextId="7">
    <queryTableFields count="6">
      <queryTableField id="1" name="id" tableColumnId="1"/>
      <queryTableField id="2" name="data" tableColumnId="2"/>
      <queryTableField id="3" name="tipo_erro" tableColumnId="3"/>
      <queryTableField id="4" name="tempo_processamento" tableColumnId="4"/>
      <queryTableField id="5" name="status" tableColumnId="5"/>
      <queryTableField id="6" name="cliente_id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7E9027B-604F-4CF4-8D72-6E4720028739}" name="Tipos_de_erro" displayName="Tipos_de_erro" ref="A1:F41" tableType="queryTable" totalsRowShown="0">
  <autoFilter ref="A1:F41" xr:uid="{07E9027B-604F-4CF4-8D72-6E4720028739}"/>
  <tableColumns count="6">
    <tableColumn id="1" xr3:uid="{D976516A-3DB7-4616-9D33-519C005267F5}" uniqueName="1" name="id" queryTableFieldId="1" dataDxfId="3"/>
    <tableColumn id="2" xr3:uid="{7C83AA4F-3E42-4569-A58D-A486EB22FE8C}" uniqueName="2" name="data" queryTableFieldId="2" dataDxfId="1"/>
    <tableColumn id="3" xr3:uid="{725EBAC4-173A-4C18-AC14-F3074F070486}" uniqueName="3" name="tipo_erro" queryTableFieldId="3" dataDxfId="2"/>
    <tableColumn id="4" xr3:uid="{387B4261-8BA2-472F-A67D-C1BBEC1D8BBD}" uniqueName="4" name="tempo_processamento" queryTableFieldId="4" dataDxfId="0"/>
    <tableColumn id="5" xr3:uid="{9C153F36-9F5D-4A25-B1F3-0612BA45AE39}" uniqueName="5" name="status" queryTableFieldId="5" dataDxfId="4"/>
    <tableColumn id="6" xr3:uid="{1E208B13-0E89-4C48-95DF-EC30F8FB490F}" uniqueName="6" name="cliente_id" queryTableFieldId="6" dataDxfId="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9B8D053-6003-4679-A260-B0A2A5AE3E09}" name="Tabela2" displayName="Tabela2" ref="D6:D47" totalsRowShown="0">
  <autoFilter ref="D6:D47" xr:uid="{69B8D053-6003-4679-A260-B0A2A5AE3E09}"/>
  <tableColumns count="1">
    <tableColumn id="1" xr3:uid="{D2188F38-EF98-456F-B3C4-95C6E31A4A8D}" name="Coluna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table" Target="../tables/table2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09B64-1FD5-49D2-8D04-6C721791980B}">
  <sheetPr codeName="Planilha2"/>
  <dimension ref="A1:F41"/>
  <sheetViews>
    <sheetView tabSelected="1" workbookViewId="0">
      <selection activeCell="H13" sqref="H13"/>
    </sheetView>
  </sheetViews>
  <sheetFormatPr defaultRowHeight="15" x14ac:dyDescent="0.25"/>
  <cols>
    <col min="1" max="1" width="5" bestFit="1" customWidth="1"/>
    <col min="2" max="2" width="10.42578125" style="9" bestFit="1" customWidth="1"/>
    <col min="3" max="3" width="12.42578125" bestFit="1" customWidth="1"/>
    <col min="4" max="4" width="24.140625" style="7" customWidth="1"/>
    <col min="5" max="5" width="8.5703125" bestFit="1" customWidth="1"/>
    <col min="6" max="6" width="12.140625" style="7" bestFit="1" customWidth="1"/>
  </cols>
  <sheetData>
    <row r="1" spans="1:6" x14ac:dyDescent="0.25">
      <c r="A1" t="s">
        <v>0</v>
      </c>
      <c r="B1" s="9" t="s">
        <v>1</v>
      </c>
      <c r="C1" t="s">
        <v>2</v>
      </c>
      <c r="D1" s="7" t="s">
        <v>3</v>
      </c>
      <c r="E1" t="s">
        <v>4</v>
      </c>
      <c r="F1" s="7" t="s">
        <v>5</v>
      </c>
    </row>
    <row r="2" spans="1:6" x14ac:dyDescent="0.25">
      <c r="A2" s="3">
        <v>1</v>
      </c>
      <c r="B2" s="9" t="s">
        <v>48</v>
      </c>
      <c r="C2" s="3" t="s">
        <v>49</v>
      </c>
      <c r="D2" s="7">
        <v>120</v>
      </c>
      <c r="E2" s="3" t="s">
        <v>50</v>
      </c>
      <c r="F2" s="7">
        <v>101</v>
      </c>
    </row>
    <row r="3" spans="1:6" x14ac:dyDescent="0.25">
      <c r="A3" s="3">
        <v>2</v>
      </c>
      <c r="B3" s="9" t="s">
        <v>48</v>
      </c>
      <c r="C3" s="3" t="s">
        <v>51</v>
      </c>
      <c r="D3" s="7">
        <v>45</v>
      </c>
      <c r="E3" s="3" t="s">
        <v>52</v>
      </c>
      <c r="F3" s="7">
        <v>102</v>
      </c>
    </row>
    <row r="4" spans="1:6" x14ac:dyDescent="0.25">
      <c r="A4" s="3">
        <v>3</v>
      </c>
      <c r="B4" s="9" t="s">
        <v>48</v>
      </c>
      <c r="C4" s="3" t="s">
        <v>53</v>
      </c>
      <c r="D4" s="7">
        <v>200</v>
      </c>
      <c r="E4" s="3" t="s">
        <v>50</v>
      </c>
      <c r="F4" s="7">
        <v>103</v>
      </c>
    </row>
    <row r="5" spans="1:6" x14ac:dyDescent="0.25">
      <c r="A5" s="3">
        <v>4</v>
      </c>
      <c r="B5" s="9" t="s">
        <v>48</v>
      </c>
      <c r="C5" s="3" t="s">
        <v>54</v>
      </c>
      <c r="D5" s="7">
        <v>60</v>
      </c>
      <c r="E5" s="8" t="s">
        <v>52</v>
      </c>
      <c r="F5" s="7">
        <v>104</v>
      </c>
    </row>
    <row r="6" spans="1:6" x14ac:dyDescent="0.25">
      <c r="A6" s="3">
        <v>5</v>
      </c>
      <c r="B6" s="9" t="s">
        <v>55</v>
      </c>
      <c r="C6" s="3" t="s">
        <v>49</v>
      </c>
      <c r="D6" s="7">
        <v>150</v>
      </c>
      <c r="E6" s="3" t="s">
        <v>50</v>
      </c>
      <c r="F6" s="7">
        <v>105</v>
      </c>
    </row>
    <row r="7" spans="1:6" x14ac:dyDescent="0.25">
      <c r="A7" s="3">
        <v>6</v>
      </c>
      <c r="B7" s="9" t="s">
        <v>55</v>
      </c>
      <c r="C7" s="3" t="s">
        <v>51</v>
      </c>
      <c r="D7" s="7">
        <v>50</v>
      </c>
      <c r="E7" s="3" t="s">
        <v>52</v>
      </c>
      <c r="F7" s="7">
        <v>106</v>
      </c>
    </row>
    <row r="8" spans="1:6" x14ac:dyDescent="0.25">
      <c r="A8" s="3">
        <v>7</v>
      </c>
      <c r="B8" s="9" t="s">
        <v>55</v>
      </c>
      <c r="C8" s="3" t="s">
        <v>51</v>
      </c>
      <c r="D8" s="7">
        <v>40</v>
      </c>
      <c r="E8" s="3" t="s">
        <v>52</v>
      </c>
      <c r="F8" s="7">
        <v>107</v>
      </c>
    </row>
    <row r="9" spans="1:6" x14ac:dyDescent="0.25">
      <c r="A9" s="3">
        <v>8</v>
      </c>
      <c r="B9" s="9" t="s">
        <v>55</v>
      </c>
      <c r="C9" s="3" t="s">
        <v>53</v>
      </c>
      <c r="D9" s="7">
        <v>210</v>
      </c>
      <c r="E9" s="3" t="s">
        <v>50</v>
      </c>
      <c r="F9" s="7">
        <v>108</v>
      </c>
    </row>
    <row r="10" spans="1:6" x14ac:dyDescent="0.25">
      <c r="A10" s="3">
        <v>9</v>
      </c>
      <c r="B10" s="9" t="s">
        <v>56</v>
      </c>
      <c r="C10" s="3" t="s">
        <v>54</v>
      </c>
      <c r="D10" s="7">
        <v>70</v>
      </c>
      <c r="E10" s="3" t="s">
        <v>52</v>
      </c>
      <c r="F10" s="7">
        <v>109</v>
      </c>
    </row>
    <row r="11" spans="1:6" x14ac:dyDescent="0.25">
      <c r="A11" s="3">
        <v>10</v>
      </c>
      <c r="B11" s="9" t="s">
        <v>56</v>
      </c>
      <c r="C11" s="3" t="s">
        <v>49</v>
      </c>
      <c r="D11" s="7">
        <v>130</v>
      </c>
      <c r="E11" s="3" t="s">
        <v>50</v>
      </c>
      <c r="F11" s="7">
        <v>110</v>
      </c>
    </row>
    <row r="12" spans="1:6" x14ac:dyDescent="0.25">
      <c r="A12" s="3">
        <v>11</v>
      </c>
      <c r="B12" s="9" t="s">
        <v>56</v>
      </c>
      <c r="C12" s="3" t="s">
        <v>51</v>
      </c>
      <c r="D12" s="7">
        <f>SUBTOTAL(101,D2:D11)</f>
        <v>107.5</v>
      </c>
      <c r="E12" s="3" t="s">
        <v>52</v>
      </c>
      <c r="F12" s="7">
        <v>101</v>
      </c>
    </row>
    <row r="13" spans="1:6" x14ac:dyDescent="0.25">
      <c r="A13" s="3">
        <v>12</v>
      </c>
      <c r="B13" s="9" t="s">
        <v>56</v>
      </c>
      <c r="C13" s="3" t="s">
        <v>49</v>
      </c>
      <c r="D13" s="7">
        <v>140</v>
      </c>
      <c r="E13" s="3" t="s">
        <v>50</v>
      </c>
      <c r="F13" s="7">
        <v>102</v>
      </c>
    </row>
    <row r="14" spans="1:6" x14ac:dyDescent="0.25">
      <c r="A14" s="3">
        <v>13</v>
      </c>
      <c r="B14" s="9" t="s">
        <v>57</v>
      </c>
      <c r="C14" s="3" t="s">
        <v>53</v>
      </c>
      <c r="D14" s="7">
        <v>220</v>
      </c>
      <c r="E14" s="3" t="s">
        <v>50</v>
      </c>
      <c r="F14" s="7">
        <v>103</v>
      </c>
    </row>
    <row r="15" spans="1:6" x14ac:dyDescent="0.25">
      <c r="A15" s="3">
        <v>14</v>
      </c>
      <c r="B15" s="9" t="s">
        <v>57</v>
      </c>
      <c r="C15" s="3" t="s">
        <v>54</v>
      </c>
      <c r="D15" s="7">
        <v>65</v>
      </c>
      <c r="E15" s="3" t="s">
        <v>52</v>
      </c>
      <c r="F15" s="7">
        <v>104</v>
      </c>
    </row>
    <row r="16" spans="1:6" x14ac:dyDescent="0.25">
      <c r="A16" s="3">
        <v>15</v>
      </c>
      <c r="B16" s="9" t="s">
        <v>57</v>
      </c>
      <c r="C16" s="3" t="s">
        <v>51</v>
      </c>
      <c r="D16" s="7">
        <v>48</v>
      </c>
      <c r="E16" s="3" t="s">
        <v>52</v>
      </c>
      <c r="F16" s="7">
        <v>105</v>
      </c>
    </row>
    <row r="17" spans="1:6" x14ac:dyDescent="0.25">
      <c r="A17" s="3">
        <v>16</v>
      </c>
      <c r="B17" s="9" t="s">
        <v>57</v>
      </c>
      <c r="C17" s="3" t="s">
        <v>49</v>
      </c>
      <c r="D17" s="7">
        <v>160</v>
      </c>
      <c r="E17" s="3" t="s">
        <v>50</v>
      </c>
      <c r="F17" s="7">
        <v>106</v>
      </c>
    </row>
    <row r="18" spans="1:6" x14ac:dyDescent="0.25">
      <c r="A18" s="3">
        <v>17</v>
      </c>
      <c r="B18" s="9" t="s">
        <v>58</v>
      </c>
      <c r="C18" s="3" t="s">
        <v>51</v>
      </c>
      <c r="D18" s="7">
        <v>52</v>
      </c>
      <c r="E18" s="3" t="s">
        <v>52</v>
      </c>
      <c r="F18" s="7">
        <v>107</v>
      </c>
    </row>
    <row r="19" spans="1:6" x14ac:dyDescent="0.25">
      <c r="A19" s="3">
        <v>18</v>
      </c>
      <c r="B19" s="9" t="s">
        <v>58</v>
      </c>
      <c r="C19" s="3" t="s">
        <v>53</v>
      </c>
      <c r="D19" s="7">
        <v>230</v>
      </c>
      <c r="E19" s="3" t="s">
        <v>50</v>
      </c>
      <c r="F19" s="7">
        <v>108</v>
      </c>
    </row>
    <row r="20" spans="1:6" x14ac:dyDescent="0.25">
      <c r="A20" s="3">
        <v>19</v>
      </c>
      <c r="B20" s="9" t="s">
        <v>58</v>
      </c>
      <c r="C20" s="3" t="s">
        <v>54</v>
      </c>
      <c r="D20" s="7">
        <v>75</v>
      </c>
      <c r="E20" s="3" t="s">
        <v>52</v>
      </c>
      <c r="F20" s="7">
        <v>109</v>
      </c>
    </row>
    <row r="21" spans="1:6" x14ac:dyDescent="0.25">
      <c r="A21" s="3">
        <v>20</v>
      </c>
      <c r="B21" s="9" t="s">
        <v>58</v>
      </c>
      <c r="C21" s="3" t="s">
        <v>49</v>
      </c>
      <c r="D21" s="7">
        <v>135</v>
      </c>
      <c r="E21" s="3" t="s">
        <v>50</v>
      </c>
      <c r="F21" s="7">
        <v>110</v>
      </c>
    </row>
    <row r="22" spans="1:6" x14ac:dyDescent="0.25">
      <c r="A22" s="3">
        <v>21</v>
      </c>
      <c r="B22" s="9" t="s">
        <v>59</v>
      </c>
      <c r="C22" s="3" t="s">
        <v>51</v>
      </c>
      <c r="D22" s="7">
        <v>47</v>
      </c>
      <c r="E22" s="3" t="s">
        <v>52</v>
      </c>
      <c r="F22" s="7">
        <v>101</v>
      </c>
    </row>
    <row r="23" spans="1:6" x14ac:dyDescent="0.25">
      <c r="A23" s="3">
        <v>22</v>
      </c>
      <c r="B23" s="9" t="s">
        <v>59</v>
      </c>
      <c r="C23" s="3" t="s">
        <v>49</v>
      </c>
      <c r="D23" s="7">
        <v>155</v>
      </c>
      <c r="E23" s="3" t="s">
        <v>50</v>
      </c>
      <c r="F23" s="7">
        <v>102</v>
      </c>
    </row>
    <row r="24" spans="1:6" x14ac:dyDescent="0.25">
      <c r="A24" s="3">
        <v>23</v>
      </c>
      <c r="B24" s="9" t="s">
        <v>59</v>
      </c>
      <c r="C24" s="3" t="s">
        <v>53</v>
      </c>
      <c r="D24" s="7">
        <v>240</v>
      </c>
      <c r="E24" s="3" t="s">
        <v>50</v>
      </c>
      <c r="F24" s="7">
        <v>103</v>
      </c>
    </row>
    <row r="25" spans="1:6" x14ac:dyDescent="0.25">
      <c r="A25" s="3">
        <v>24</v>
      </c>
      <c r="B25" s="9" t="s">
        <v>59</v>
      </c>
      <c r="C25" s="3" t="s">
        <v>54</v>
      </c>
      <c r="D25" s="7">
        <v>68</v>
      </c>
      <c r="E25" s="3" t="s">
        <v>52</v>
      </c>
      <c r="F25" s="7">
        <v>104</v>
      </c>
    </row>
    <row r="26" spans="1:6" x14ac:dyDescent="0.25">
      <c r="A26" s="3">
        <v>25</v>
      </c>
      <c r="B26" s="9" t="s">
        <v>60</v>
      </c>
      <c r="C26" s="3" t="s">
        <v>51</v>
      </c>
      <c r="D26" s="7">
        <v>49</v>
      </c>
      <c r="E26" s="3" t="s">
        <v>52</v>
      </c>
      <c r="F26" s="7">
        <v>105</v>
      </c>
    </row>
    <row r="27" spans="1:6" x14ac:dyDescent="0.25">
      <c r="A27" s="3">
        <v>26</v>
      </c>
      <c r="B27" s="9" t="s">
        <v>60</v>
      </c>
      <c r="C27" s="3" t="s">
        <v>49</v>
      </c>
      <c r="D27" s="7">
        <v>145</v>
      </c>
      <c r="E27" s="3" t="s">
        <v>50</v>
      </c>
      <c r="F27" s="7">
        <v>106</v>
      </c>
    </row>
    <row r="28" spans="1:6" x14ac:dyDescent="0.25">
      <c r="A28" s="3">
        <v>27</v>
      </c>
      <c r="B28" s="9" t="s">
        <v>60</v>
      </c>
      <c r="C28" s="3" t="s">
        <v>53</v>
      </c>
      <c r="D28" s="7">
        <v>250</v>
      </c>
      <c r="E28" s="3" t="s">
        <v>50</v>
      </c>
      <c r="F28" s="7">
        <v>107</v>
      </c>
    </row>
    <row r="29" spans="1:6" x14ac:dyDescent="0.25">
      <c r="A29" s="3">
        <v>28</v>
      </c>
      <c r="B29" s="9" t="s">
        <v>60</v>
      </c>
      <c r="C29" s="3" t="s">
        <v>54</v>
      </c>
      <c r="D29" s="7">
        <v>72</v>
      </c>
      <c r="E29" s="3" t="s">
        <v>52</v>
      </c>
      <c r="F29" s="7">
        <v>108</v>
      </c>
    </row>
    <row r="30" spans="1:6" x14ac:dyDescent="0.25">
      <c r="A30" s="3">
        <v>29</v>
      </c>
      <c r="B30" s="9" t="s">
        <v>61</v>
      </c>
      <c r="C30" s="3" t="s">
        <v>51</v>
      </c>
      <c r="D30" s="7">
        <v>46</v>
      </c>
      <c r="E30" s="3" t="s">
        <v>52</v>
      </c>
      <c r="F30" s="7">
        <v>109</v>
      </c>
    </row>
    <row r="31" spans="1:6" x14ac:dyDescent="0.25">
      <c r="A31" s="3">
        <v>30</v>
      </c>
      <c r="B31" s="9" t="s">
        <v>61</v>
      </c>
      <c r="C31" s="3" t="s">
        <v>49</v>
      </c>
      <c r="D31" s="7">
        <v>165</v>
      </c>
      <c r="E31" s="3" t="s">
        <v>50</v>
      </c>
      <c r="F31" s="7">
        <v>110</v>
      </c>
    </row>
    <row r="32" spans="1:6" x14ac:dyDescent="0.25">
      <c r="A32" s="3">
        <v>31</v>
      </c>
      <c r="B32" s="9" t="s">
        <v>61</v>
      </c>
      <c r="C32" s="3" t="s">
        <v>53</v>
      </c>
      <c r="D32" s="7">
        <v>260</v>
      </c>
      <c r="E32" s="3" t="s">
        <v>50</v>
      </c>
      <c r="F32" s="7">
        <v>101</v>
      </c>
    </row>
    <row r="33" spans="1:6" x14ac:dyDescent="0.25">
      <c r="A33" s="3">
        <v>32</v>
      </c>
      <c r="B33" s="9" t="s">
        <v>61</v>
      </c>
      <c r="C33" s="3" t="s">
        <v>54</v>
      </c>
      <c r="D33" s="7">
        <v>66</v>
      </c>
      <c r="E33" s="3" t="s">
        <v>52</v>
      </c>
      <c r="F33" s="7">
        <v>102</v>
      </c>
    </row>
    <row r="34" spans="1:6" x14ac:dyDescent="0.25">
      <c r="A34" s="3">
        <v>33</v>
      </c>
      <c r="B34" s="9" t="s">
        <v>62</v>
      </c>
      <c r="C34" s="3" t="s">
        <v>51</v>
      </c>
      <c r="D34" s="7">
        <v>51</v>
      </c>
      <c r="E34" s="3" t="s">
        <v>52</v>
      </c>
      <c r="F34" s="7">
        <v>103</v>
      </c>
    </row>
    <row r="35" spans="1:6" x14ac:dyDescent="0.25">
      <c r="A35" s="3">
        <v>34</v>
      </c>
      <c r="B35" s="9" t="s">
        <v>62</v>
      </c>
      <c r="C35" s="3" t="s">
        <v>49</v>
      </c>
      <c r="D35" s="7">
        <v>170</v>
      </c>
      <c r="E35" s="3" t="s">
        <v>50</v>
      </c>
      <c r="F35" s="7">
        <v>104</v>
      </c>
    </row>
    <row r="36" spans="1:6" x14ac:dyDescent="0.25">
      <c r="A36" s="3">
        <v>35</v>
      </c>
      <c r="B36" s="9" t="s">
        <v>62</v>
      </c>
      <c r="C36" s="3" t="s">
        <v>53</v>
      </c>
      <c r="D36" s="7">
        <v>270</v>
      </c>
      <c r="E36" s="3" t="s">
        <v>50</v>
      </c>
      <c r="F36" s="7">
        <v>105</v>
      </c>
    </row>
    <row r="37" spans="1:6" x14ac:dyDescent="0.25">
      <c r="A37" s="3">
        <v>36</v>
      </c>
      <c r="B37" s="9" t="s">
        <v>62</v>
      </c>
      <c r="C37" s="3" t="s">
        <v>54</v>
      </c>
      <c r="D37" s="7">
        <v>69</v>
      </c>
      <c r="E37" s="3" t="s">
        <v>52</v>
      </c>
      <c r="F37" s="7">
        <v>106</v>
      </c>
    </row>
    <row r="38" spans="1:6" x14ac:dyDescent="0.25">
      <c r="A38" s="3">
        <v>37</v>
      </c>
      <c r="B38" s="9" t="s">
        <v>63</v>
      </c>
      <c r="C38" s="3" t="s">
        <v>51</v>
      </c>
      <c r="D38" s="7">
        <v>53</v>
      </c>
      <c r="E38" s="3" t="s">
        <v>52</v>
      </c>
      <c r="F38" s="7">
        <v>107</v>
      </c>
    </row>
    <row r="39" spans="1:6" x14ac:dyDescent="0.25">
      <c r="A39" s="3">
        <v>38</v>
      </c>
      <c r="B39" s="9" t="s">
        <v>63</v>
      </c>
      <c r="C39" s="3" t="s">
        <v>49</v>
      </c>
      <c r="D39" s="7">
        <v>175</v>
      </c>
      <c r="E39" s="3" t="s">
        <v>50</v>
      </c>
      <c r="F39" s="7">
        <v>108</v>
      </c>
    </row>
    <row r="40" spans="1:6" x14ac:dyDescent="0.25">
      <c r="A40" s="3">
        <v>39</v>
      </c>
      <c r="B40" s="9" t="s">
        <v>63</v>
      </c>
      <c r="C40" s="3" t="s">
        <v>53</v>
      </c>
      <c r="D40" s="7">
        <v>280</v>
      </c>
      <c r="E40" s="3" t="s">
        <v>50</v>
      </c>
      <c r="F40" s="7">
        <v>109</v>
      </c>
    </row>
    <row r="41" spans="1:6" x14ac:dyDescent="0.25">
      <c r="A41" s="3"/>
      <c r="C41" s="3"/>
      <c r="E41" s="3"/>
    </row>
  </sheetData>
  <dataConsolidate function="average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048E5-5983-4BD6-B410-089EC0043E52}">
  <sheetPr codeName="Planilha3"/>
  <dimension ref="A1:J47"/>
  <sheetViews>
    <sheetView topLeftCell="A13" zoomScaleNormal="100" workbookViewId="0">
      <selection activeCell="V23" sqref="V23"/>
    </sheetView>
  </sheetViews>
  <sheetFormatPr defaultRowHeight="15" x14ac:dyDescent="0.25"/>
  <cols>
    <col min="1" max="1" width="2.7109375" bestFit="1" customWidth="1"/>
    <col min="2" max="2" width="4.85546875" bestFit="1" customWidth="1"/>
    <col min="3" max="3" width="9.28515625" bestFit="1" customWidth="1"/>
    <col min="4" max="4" width="53.7109375" bestFit="1" customWidth="1"/>
    <col min="5" max="5" width="6.28515625" bestFit="1" customWidth="1"/>
    <col min="6" max="6" width="2.5703125" bestFit="1" customWidth="1"/>
    <col min="7" max="7" width="5" bestFit="1" customWidth="1"/>
    <col min="8" max="8" width="18" bestFit="1" customWidth="1"/>
    <col min="9" max="9" width="31" bestFit="1" customWidth="1"/>
    <col min="10" max="10" width="6.7109375" bestFit="1" customWidth="1"/>
  </cols>
  <sheetData>
    <row r="1" spans="1:10" x14ac:dyDescent="0.25">
      <c r="A1" s="1"/>
      <c r="B1" s="1"/>
      <c r="C1" s="1"/>
      <c r="D1" s="1"/>
      <c r="E1" s="1"/>
      <c r="F1" s="1"/>
    </row>
    <row r="6" spans="1:10" x14ac:dyDescent="0.25">
      <c r="D6" t="s">
        <v>6</v>
      </c>
      <c r="F6" s="2"/>
      <c r="G6" s="2"/>
      <c r="H6" s="2"/>
      <c r="I6" s="2"/>
      <c r="J6" s="2"/>
    </row>
    <row r="7" spans="1:10" x14ac:dyDescent="0.25">
      <c r="D7" t="s">
        <v>7</v>
      </c>
    </row>
    <row r="8" spans="1:10" x14ac:dyDescent="0.25">
      <c r="D8" t="s">
        <v>8</v>
      </c>
    </row>
    <row r="9" spans="1:10" x14ac:dyDescent="0.25">
      <c r="D9" t="s">
        <v>9</v>
      </c>
    </row>
    <row r="10" spans="1:10" x14ac:dyDescent="0.25">
      <c r="D10" t="s">
        <v>10</v>
      </c>
    </row>
    <row r="11" spans="1:10" x14ac:dyDescent="0.25">
      <c r="D11" t="s">
        <v>11</v>
      </c>
    </row>
    <row r="12" spans="1:10" x14ac:dyDescent="0.25">
      <c r="D12" t="s">
        <v>12</v>
      </c>
    </row>
    <row r="13" spans="1:10" x14ac:dyDescent="0.25">
      <c r="D13" t="s">
        <v>13</v>
      </c>
    </row>
    <row r="14" spans="1:10" x14ac:dyDescent="0.25">
      <c r="D14" t="s">
        <v>14</v>
      </c>
    </row>
    <row r="15" spans="1:10" x14ac:dyDescent="0.25">
      <c r="D15" t="s">
        <v>15</v>
      </c>
    </row>
    <row r="16" spans="1:10" x14ac:dyDescent="0.25">
      <c r="D16" t="s">
        <v>16</v>
      </c>
    </row>
    <row r="17" spans="4:9" x14ac:dyDescent="0.25">
      <c r="D17" t="s">
        <v>17</v>
      </c>
      <c r="H17" s="4" t="s">
        <v>64</v>
      </c>
      <c r="I17" t="s">
        <v>66</v>
      </c>
    </row>
    <row r="18" spans="4:9" x14ac:dyDescent="0.25">
      <c r="D18" t="s">
        <v>18</v>
      </c>
      <c r="H18" s="5" t="s">
        <v>50</v>
      </c>
      <c r="I18" s="6">
        <v>0.5</v>
      </c>
    </row>
    <row r="19" spans="4:9" x14ac:dyDescent="0.25">
      <c r="D19" t="s">
        <v>19</v>
      </c>
      <c r="H19" s="5" t="s">
        <v>52</v>
      </c>
      <c r="I19" s="6">
        <v>0.5</v>
      </c>
    </row>
    <row r="20" spans="4:9" x14ac:dyDescent="0.25">
      <c r="D20" t="s">
        <v>20</v>
      </c>
      <c r="H20" s="5" t="s">
        <v>65</v>
      </c>
      <c r="I20" s="6">
        <v>1</v>
      </c>
    </row>
    <row r="21" spans="4:9" x14ac:dyDescent="0.25">
      <c r="D21" t="s">
        <v>21</v>
      </c>
    </row>
    <row r="22" spans="4:9" x14ac:dyDescent="0.25">
      <c r="D22" t="s">
        <v>22</v>
      </c>
    </row>
    <row r="23" spans="4:9" x14ac:dyDescent="0.25">
      <c r="D23" t="s">
        <v>23</v>
      </c>
      <c r="H23" s="4" t="s">
        <v>64</v>
      </c>
      <c r="I23" t="s">
        <v>67</v>
      </c>
    </row>
    <row r="24" spans="4:9" x14ac:dyDescent="0.25">
      <c r="D24" t="s">
        <v>24</v>
      </c>
      <c r="H24" s="5" t="s">
        <v>54</v>
      </c>
      <c r="I24" s="6">
        <v>0.22500000000000001</v>
      </c>
    </row>
    <row r="25" spans="4:9" x14ac:dyDescent="0.25">
      <c r="D25" t="s">
        <v>25</v>
      </c>
      <c r="H25" s="5" t="s">
        <v>51</v>
      </c>
      <c r="I25" s="6">
        <v>0.27500000000000002</v>
      </c>
    </row>
    <row r="26" spans="4:9" x14ac:dyDescent="0.25">
      <c r="D26" t="s">
        <v>26</v>
      </c>
      <c r="H26" s="5" t="s">
        <v>49</v>
      </c>
      <c r="I26" s="6">
        <v>0.27500000000000002</v>
      </c>
    </row>
    <row r="27" spans="4:9" x14ac:dyDescent="0.25">
      <c r="D27" t="s">
        <v>27</v>
      </c>
      <c r="H27" s="5" t="s">
        <v>53</v>
      </c>
      <c r="I27" s="6">
        <v>0.22500000000000001</v>
      </c>
    </row>
    <row r="28" spans="4:9" x14ac:dyDescent="0.25">
      <c r="D28" t="s">
        <v>28</v>
      </c>
      <c r="H28" s="5" t="s">
        <v>65</v>
      </c>
      <c r="I28" s="6">
        <v>1</v>
      </c>
    </row>
    <row r="29" spans="4:9" x14ac:dyDescent="0.25">
      <c r="D29" t="s">
        <v>29</v>
      </c>
    </row>
    <row r="30" spans="4:9" x14ac:dyDescent="0.25">
      <c r="D30" t="s">
        <v>30</v>
      </c>
    </row>
    <row r="31" spans="4:9" x14ac:dyDescent="0.25">
      <c r="D31" t="s">
        <v>31</v>
      </c>
    </row>
    <row r="32" spans="4:9" x14ac:dyDescent="0.25">
      <c r="D32" t="s">
        <v>32</v>
      </c>
    </row>
    <row r="33" spans="4:9" x14ac:dyDescent="0.25">
      <c r="D33" t="s">
        <v>33</v>
      </c>
      <c r="H33" s="4" t="s">
        <v>64</v>
      </c>
      <c r="I33" t="s">
        <v>68</v>
      </c>
    </row>
    <row r="34" spans="4:9" x14ac:dyDescent="0.25">
      <c r="D34" t="s">
        <v>34</v>
      </c>
      <c r="H34" s="5" t="s">
        <v>54</v>
      </c>
      <c r="I34" s="6">
        <v>0.53799230535587728</v>
      </c>
    </row>
    <row r="35" spans="4:9" x14ac:dyDescent="0.25">
      <c r="D35" t="s">
        <v>35</v>
      </c>
      <c r="H35" s="5" t="s">
        <v>51</v>
      </c>
      <c r="I35" s="6">
        <v>0.42249670952718438</v>
      </c>
    </row>
    <row r="36" spans="4:9" x14ac:dyDescent="0.25">
      <c r="D36" t="s">
        <v>36</v>
      </c>
      <c r="H36" s="5" t="s">
        <v>49</v>
      </c>
      <c r="I36" s="6">
        <v>1.1809806069196571</v>
      </c>
    </row>
    <row r="37" spans="4:9" x14ac:dyDescent="0.25">
      <c r="D37" t="s">
        <v>37</v>
      </c>
      <c r="H37" s="5" t="s">
        <v>53</v>
      </c>
      <c r="I37" s="6">
        <v>1.8953123418041917</v>
      </c>
    </row>
    <row r="38" spans="4:9" x14ac:dyDescent="0.25">
      <c r="D38" t="s">
        <v>38</v>
      </c>
      <c r="H38" s="5" t="s">
        <v>65</v>
      </c>
      <c r="I38" s="6">
        <v>1</v>
      </c>
    </row>
    <row r="39" spans="4:9" x14ac:dyDescent="0.25">
      <c r="D39" t="s">
        <v>39</v>
      </c>
    </row>
    <row r="40" spans="4:9" x14ac:dyDescent="0.25">
      <c r="D40" t="s">
        <v>40</v>
      </c>
    </row>
    <row r="41" spans="4:9" x14ac:dyDescent="0.25">
      <c r="D41" t="s">
        <v>41</v>
      </c>
    </row>
    <row r="42" spans="4:9" x14ac:dyDescent="0.25">
      <c r="D42" t="s">
        <v>42</v>
      </c>
    </row>
    <row r="43" spans="4:9" x14ac:dyDescent="0.25">
      <c r="D43" t="s">
        <v>43</v>
      </c>
    </row>
    <row r="44" spans="4:9" x14ac:dyDescent="0.25">
      <c r="D44" t="s">
        <v>44</v>
      </c>
    </row>
    <row r="45" spans="4:9" x14ac:dyDescent="0.25">
      <c r="D45" t="s">
        <v>45</v>
      </c>
    </row>
    <row r="46" spans="4:9" x14ac:dyDescent="0.25">
      <c r="D46" t="s">
        <v>46</v>
      </c>
    </row>
    <row r="47" spans="4:9" x14ac:dyDescent="0.25">
      <c r="D47" t="s">
        <v>47</v>
      </c>
    </row>
  </sheetData>
  <pageMargins left="0.511811024" right="0.511811024" top="0.78740157499999996" bottom="0.78740157499999996" header="0.31496062000000002" footer="0.31496062000000002"/>
  <pageSetup paperSize="9" orientation="portrait" r:id="rId4"/>
  <tableParts count="1">
    <tablePart r:id="rId5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6975240-D3E4-488B-B025-6062AB0F62A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Tipos de erro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 Andrade</dc:creator>
  <cp:lastModifiedBy>Mary Andrade</cp:lastModifiedBy>
  <dcterms:created xsi:type="dcterms:W3CDTF">2026-04-22T16:12:06Z</dcterms:created>
  <dcterms:modified xsi:type="dcterms:W3CDTF">2026-04-22T20:53:07Z</dcterms:modified>
</cp:coreProperties>
</file>